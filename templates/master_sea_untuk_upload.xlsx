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wiki\Downloads\"/>
    </mc:Choice>
  </mc:AlternateContent>
  <xr:revisionPtr revIDLastSave="0" documentId="8_{45313EDF-85D2-4AA2-A3B5-1E820E202053}" xr6:coauthVersionLast="47" xr6:coauthVersionMax="47" xr10:uidLastSave="{00000000-0000-0000-0000-000000000000}"/>
  <bookViews>
    <workbookView xWindow="-120" yWindow="-120" windowWidth="29040" windowHeight="16440" tabRatio="870" xr2:uid="{00000000-000D-0000-FFFF-FFFF00000000}"/>
  </bookViews>
  <sheets>
    <sheet name="MASTER TRUCKING ORIGIN" sheetId="3" r:id="rId1"/>
    <sheet name="MASTER TRUCKING DESTINATION" sheetId="4" r:id="rId2"/>
    <sheet name="MASTER PORT OF LOAD" sheetId="5" r:id="rId3"/>
    <sheet name="MASTER PORT OF DISC" sheetId="6" r:id="rId4"/>
    <sheet name="MASTER PTP" sheetId="7" r:id="rId5"/>
    <sheet name="MASTER OTHER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7" l="1"/>
  <c r="G8" i="7"/>
  <c r="F8" i="7"/>
  <c r="E8" i="7"/>
  <c r="I13" i="3"/>
  <c r="H13" i="3"/>
  <c r="I12" i="3"/>
  <c r="H12" i="3"/>
  <c r="I11" i="3"/>
  <c r="H11" i="3"/>
  <c r="G11" i="3"/>
  <c r="H10" i="3"/>
  <c r="G10" i="3"/>
  <c r="I10" i="3" s="1"/>
  <c r="H9" i="3"/>
  <c r="G9" i="3"/>
  <c r="I9" i="3" s="1"/>
  <c r="H8" i="3"/>
  <c r="G8" i="3"/>
  <c r="I8" i="3" s="1"/>
  <c r="H7" i="3"/>
  <c r="G7" i="3"/>
  <c r="I7" i="3" s="1"/>
  <c r="H6" i="3"/>
  <c r="G6" i="3"/>
  <c r="I6" i="3" s="1"/>
  <c r="H5" i="3"/>
  <c r="G5" i="3"/>
  <c r="I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zhen</author>
  </authors>
  <commentList>
    <comment ref="E7" authorId="0" shapeId="0" xr:uid="{841C1C35-8739-4E4D-B9C4-EC7CB1B78A54}">
      <text>
        <r>
          <rPr>
            <b/>
            <sz val="9"/>
            <color indexed="81"/>
            <rFont val="Tahoma"/>
            <family val="2"/>
          </rPr>
          <t>Huang zhen:</t>
        </r>
        <r>
          <rPr>
            <sz val="9"/>
            <color indexed="81"/>
            <rFont val="Tahoma"/>
            <family val="2"/>
          </rPr>
          <t xml:space="preserve">
3M
</t>
        </r>
      </text>
    </comment>
    <comment ref="E8" authorId="0" shapeId="0" xr:uid="{62F09B90-1723-42DB-8EFE-2467CF60909B}">
      <text>
        <r>
          <rPr>
            <b/>
            <sz val="9"/>
            <color indexed="81"/>
            <rFont val="Tahoma"/>
            <family val="2"/>
          </rPr>
          <t>Huang zhen:</t>
        </r>
        <r>
          <rPr>
            <sz val="9"/>
            <color indexed="81"/>
            <rFont val="Tahoma"/>
            <family val="2"/>
          </rPr>
          <t xml:space="preserve">
3M</t>
        </r>
      </text>
    </comment>
  </commentList>
</comments>
</file>

<file path=xl/sharedStrings.xml><?xml version="1.0" encoding="utf-8"?>
<sst xmlns="http://schemas.openxmlformats.org/spreadsheetml/2006/main" count="90" uniqueCount="33">
  <si>
    <t>Truck Type</t>
  </si>
  <si>
    <t xml:space="preserve">KM Truck Origin </t>
  </si>
  <si>
    <t>TRUCKING ORIGIN</t>
  </si>
  <si>
    <t>THC ORIGIN + LOLO ORIGIN</t>
  </si>
  <si>
    <t>THC DEST</t>
  </si>
  <si>
    <t>AGENT</t>
  </si>
  <si>
    <t>DO+CLEAN</t>
  </si>
  <si>
    <t xml:space="preserve">RISK CLAIM </t>
  </si>
  <si>
    <t>MARKETING</t>
  </si>
  <si>
    <t>PORT ORIGIN</t>
  </si>
  <si>
    <t>PORT DESTINATION</t>
  </si>
  <si>
    <t>Tanjung Priok</t>
  </si>
  <si>
    <t>MAINT FEE (2500x KM)</t>
  </si>
  <si>
    <t>IKNVESTASI TRUCK</t>
  </si>
  <si>
    <t xml:space="preserve">TEMAS </t>
  </si>
  <si>
    <t>Meratus</t>
  </si>
  <si>
    <t>FREIGHT</t>
  </si>
  <si>
    <t>FS(LSS)</t>
  </si>
  <si>
    <t>BEKASI</t>
  </si>
  <si>
    <t>KENDARI</t>
  </si>
  <si>
    <t xml:space="preserve">20ft </t>
  </si>
  <si>
    <t>CIBODAS</t>
  </si>
  <si>
    <t>TANGERANG</t>
  </si>
  <si>
    <t>CIBODAS+BEKASI</t>
  </si>
  <si>
    <t>40ft</t>
  </si>
  <si>
    <t>GRESIK</t>
  </si>
  <si>
    <t>ORIGIN KOTA</t>
  </si>
  <si>
    <t>ORIGIN KECAMATAN</t>
  </si>
  <si>
    <t>DESTINATION KOTA</t>
  </si>
  <si>
    <t>DESTINATION  KECAMATAN</t>
  </si>
  <si>
    <t>TANJUNG PRIOK</t>
  </si>
  <si>
    <t>TANJUNG PERAK</t>
  </si>
  <si>
    <t>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</si>
</sst>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_-[$Rp-421]* #,##0_-;\-[$Rp-421]* #,##0_-;_-[$Rp-421]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5" fontId="2" fillId="0" borderId="1" xfId="0" applyNumberFormat="1" applyFont="1" applyBorder="1" applyAlignment="1">
      <alignment horizontal="center" wrapText="1"/>
    </xf>
    <xf numFmtId="0" fontId="0" fillId="0" borderId="1" xfId="0" applyBorder="1"/>
    <xf numFmtId="165" fontId="0" fillId="0" borderId="1" xfId="0" applyNumberFormat="1" applyBorder="1"/>
    <xf numFmtId="165" fontId="3" fillId="3" borderId="1" xfId="0" applyNumberFormat="1" applyFont="1" applyFill="1" applyBorder="1"/>
    <xf numFmtId="0" fontId="0" fillId="0" borderId="9" xfId="0" applyFill="1" applyBorder="1"/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65" fontId="2" fillId="2" borderId="2" xfId="0" applyNumberFormat="1" applyFont="1" applyFill="1" applyBorder="1" applyAlignment="1">
      <alignment horizontal="center" wrapText="1"/>
    </xf>
    <xf numFmtId="165" fontId="2" fillId="2" borderId="3" xfId="0" applyNumberFormat="1" applyFont="1" applyFill="1" applyBorder="1" applyAlignment="1">
      <alignment horizontal="center" wrapText="1"/>
    </xf>
    <xf numFmtId="165" fontId="2" fillId="0" borderId="2" xfId="0" applyNumberFormat="1" applyFont="1" applyBorder="1" applyAlignment="1">
      <alignment horizontal="center" wrapText="1"/>
    </xf>
    <xf numFmtId="165" fontId="2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2365-CDE4-43C1-AE74-E0244A4CF694}">
  <dimension ref="B3:I14"/>
  <sheetViews>
    <sheetView tabSelected="1" workbookViewId="0">
      <selection activeCell="F17" sqref="F17"/>
    </sheetView>
  </sheetViews>
  <sheetFormatPr defaultRowHeight="15" x14ac:dyDescent="0.25"/>
  <cols>
    <col min="2" max="2" width="16.140625" bestFit="1" customWidth="1"/>
    <col min="3" max="3" width="18.28515625" bestFit="1" customWidth="1"/>
    <col min="4" max="4" width="18.28515625" customWidth="1"/>
    <col min="5" max="5" width="9.85546875" bestFit="1" customWidth="1"/>
    <col min="6" max="6" width="14.28515625" bestFit="1" customWidth="1"/>
    <col min="7" max="7" width="16.5703125" bestFit="1" customWidth="1"/>
    <col min="8" max="8" width="20.42578125" bestFit="1" customWidth="1"/>
    <col min="9" max="9" width="17.140625" bestFit="1" customWidth="1"/>
  </cols>
  <sheetData>
    <row r="3" spans="2:9" x14ac:dyDescent="0.25">
      <c r="B3" s="14" t="s">
        <v>26</v>
      </c>
      <c r="C3" s="8" t="s">
        <v>27</v>
      </c>
      <c r="D3" s="8" t="s">
        <v>32</v>
      </c>
      <c r="E3" s="15" t="s">
        <v>0</v>
      </c>
      <c r="F3" s="16" t="s">
        <v>1</v>
      </c>
      <c r="G3" s="7" t="s">
        <v>2</v>
      </c>
      <c r="H3" s="17" t="s">
        <v>12</v>
      </c>
      <c r="I3" s="18" t="s">
        <v>13</v>
      </c>
    </row>
    <row r="4" spans="2:9" x14ac:dyDescent="0.25">
      <c r="B4" s="14"/>
      <c r="C4" s="9"/>
      <c r="D4" s="9"/>
      <c r="E4" s="15"/>
      <c r="F4" s="16"/>
      <c r="G4" s="7"/>
      <c r="H4" s="17"/>
      <c r="I4" s="19"/>
    </row>
    <row r="5" spans="2:9" x14ac:dyDescent="0.25">
      <c r="B5" s="2" t="s">
        <v>18</v>
      </c>
      <c r="C5" s="2"/>
      <c r="D5" s="2" t="s">
        <v>11</v>
      </c>
      <c r="E5" s="2" t="s">
        <v>20</v>
      </c>
      <c r="F5" s="2">
        <v>96</v>
      </c>
      <c r="G5" s="3">
        <f>902600+100000</f>
        <v>1002600</v>
      </c>
      <c r="H5" s="3">
        <f t="shared" ref="H5:H13" si="0">2500*F5</f>
        <v>240000</v>
      </c>
      <c r="I5" s="3">
        <f>1750000-G5</f>
        <v>747400</v>
      </c>
    </row>
    <row r="6" spans="2:9" x14ac:dyDescent="0.25">
      <c r="B6" s="2" t="s">
        <v>21</v>
      </c>
      <c r="C6" s="2"/>
      <c r="D6" s="2" t="s">
        <v>11</v>
      </c>
      <c r="E6" s="2" t="s">
        <v>20</v>
      </c>
      <c r="F6" s="2">
        <v>150</v>
      </c>
      <c r="G6" s="3">
        <f>1107700+100000</f>
        <v>1207700</v>
      </c>
      <c r="H6" s="3">
        <f t="shared" si="0"/>
        <v>375000</v>
      </c>
      <c r="I6" s="3">
        <f>1900000-G6</f>
        <v>692300</v>
      </c>
    </row>
    <row r="7" spans="2:9" x14ac:dyDescent="0.25">
      <c r="B7" s="2" t="s">
        <v>22</v>
      </c>
      <c r="C7" s="2"/>
      <c r="D7" s="2" t="s">
        <v>11</v>
      </c>
      <c r="E7" s="2" t="s">
        <v>20</v>
      </c>
      <c r="F7" s="2">
        <v>120</v>
      </c>
      <c r="G7" s="3">
        <f>1012000+100000</f>
        <v>1112000</v>
      </c>
      <c r="H7" s="3">
        <f t="shared" si="0"/>
        <v>300000</v>
      </c>
      <c r="I7" s="3">
        <f>1900000-G7</f>
        <v>788000</v>
      </c>
    </row>
    <row r="8" spans="2:9" x14ac:dyDescent="0.25">
      <c r="B8" s="2" t="s">
        <v>23</v>
      </c>
      <c r="C8" s="2"/>
      <c r="D8" s="2" t="s">
        <v>11</v>
      </c>
      <c r="E8" s="2" t="s">
        <v>20</v>
      </c>
      <c r="F8" s="2">
        <v>234</v>
      </c>
      <c r="G8" s="3">
        <f>1670900+200000</f>
        <v>1870900</v>
      </c>
      <c r="H8" s="3">
        <f t="shared" si="0"/>
        <v>585000</v>
      </c>
      <c r="I8" s="3">
        <f>2500000-G8</f>
        <v>629100</v>
      </c>
    </row>
    <row r="9" spans="2:9" x14ac:dyDescent="0.25">
      <c r="B9" s="2" t="s">
        <v>18</v>
      </c>
      <c r="C9" s="2"/>
      <c r="D9" s="2" t="s">
        <v>11</v>
      </c>
      <c r="E9" s="2" t="s">
        <v>24</v>
      </c>
      <c r="F9" s="2">
        <v>96</v>
      </c>
      <c r="G9" s="3">
        <f>1067600+200000</f>
        <v>1267600</v>
      </c>
      <c r="H9" s="3">
        <f t="shared" si="0"/>
        <v>240000</v>
      </c>
      <c r="I9" s="3">
        <f>2000000-G9</f>
        <v>732400</v>
      </c>
    </row>
    <row r="10" spans="2:9" x14ac:dyDescent="0.25">
      <c r="B10" s="2" t="s">
        <v>21</v>
      </c>
      <c r="C10" s="2"/>
      <c r="D10" s="2" t="s">
        <v>11</v>
      </c>
      <c r="E10" s="2" t="s">
        <v>24</v>
      </c>
      <c r="F10" s="2">
        <v>150</v>
      </c>
      <c r="G10" s="3">
        <f>1272700+200000</f>
        <v>1472700</v>
      </c>
      <c r="H10" s="3">
        <f t="shared" si="0"/>
        <v>375000</v>
      </c>
      <c r="I10" s="3">
        <f t="shared" ref="I10" si="1">2000000-G10</f>
        <v>527300</v>
      </c>
    </row>
    <row r="11" spans="2:9" x14ac:dyDescent="0.25">
      <c r="B11" s="2" t="s">
        <v>23</v>
      </c>
      <c r="C11" s="2"/>
      <c r="D11" s="2" t="s">
        <v>11</v>
      </c>
      <c r="E11" s="2" t="s">
        <v>24</v>
      </c>
      <c r="F11" s="2">
        <v>234</v>
      </c>
      <c r="G11" s="3">
        <f>1835900+200000</f>
        <v>2035900</v>
      </c>
      <c r="H11" s="3">
        <f t="shared" si="0"/>
        <v>585000</v>
      </c>
      <c r="I11" s="3">
        <f>2800000-G11</f>
        <v>764100</v>
      </c>
    </row>
    <row r="12" spans="2:9" x14ac:dyDescent="0.25">
      <c r="B12" s="2" t="s">
        <v>25</v>
      </c>
      <c r="C12" s="2"/>
      <c r="D12" s="2" t="inlineStr">
        <is>
          <t>Tanjung Perak</t>
        </is>
      </c>
      <c r="E12" s="2" t="s">
        <v>20</v>
      </c>
      <c r="F12" s="2">
        <v>94</v>
      </c>
      <c r="G12" s="3">
        <v>772600</v>
      </c>
      <c r="H12" s="3">
        <f t="shared" si="0"/>
        <v>235000</v>
      </c>
      <c r="I12" s="3">
        <f>1500000-G12</f>
        <v>727400</v>
      </c>
    </row>
    <row r="13" spans="2:9" x14ac:dyDescent="0.25">
      <c r="B13" s="2" t="s">
        <v>25</v>
      </c>
      <c r="C13" s="2"/>
      <c r="D13" s="2" t="inlineStr">
        <is>
          <t>Tanjung Perak</t>
        </is>
      </c>
      <c r="E13" s="2" t="s">
        <v>24</v>
      </c>
      <c r="F13" s="2">
        <v>94</v>
      </c>
      <c r="G13" s="3">
        <v>882600</v>
      </c>
      <c r="H13" s="3">
        <f t="shared" si="0"/>
        <v>235000</v>
      </c>
      <c r="I13" s="3">
        <f>1800000-G13</f>
        <v>917400</v>
      </c>
    </row>
    <row r="14" spans="2:9" x14ac:dyDescent="0.25">
      <c r="E14" s="5"/>
    </row>
  </sheetData>
  <mergeCells count="8">
    <mergeCell ref="I3:I4"/>
    <mergeCell ref="B3:B4"/>
    <mergeCell ref="C3:C4"/>
    <mergeCell ref="E3:E4"/>
    <mergeCell ref="F3:F4"/>
    <mergeCell ref="G3:G4"/>
    <mergeCell ref="H3:H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794C-0B75-42AC-BA20-FDAF1D7DE868}">
  <dimension ref="B3:E6"/>
  <sheetViews>
    <sheetView workbookViewId="0">
      <selection activeCell="F40" sqref="F40"/>
    </sheetView>
  </sheetViews>
  <sheetFormatPr defaultRowHeight="15" x14ac:dyDescent="0.25"/>
  <cols>
    <col min="2" max="2" width="17.42578125" bestFit="1" customWidth="1"/>
    <col min="3" max="3" width="24.140625" bestFit="1" customWidth="1"/>
    <col min="4" max="4" width="9.85546875" bestFit="1" customWidth="1"/>
    <col min="5" max="5" width="12.85546875" bestFit="1" customWidth="1"/>
  </cols>
  <sheetData>
    <row r="3" spans="2:5" x14ac:dyDescent="0.25">
      <c r="B3" s="14" t="s">
        <v>28</v>
      </c>
      <c r="C3" s="8" t="s">
        <v>29</v>
      </c>
      <c r="D3" s="15" t="s">
        <v>0</v>
      </c>
      <c r="E3" s="7" t="s">
        <v>5</v>
      </c>
    </row>
    <row r="4" spans="2:5" x14ac:dyDescent="0.25">
      <c r="B4" s="14"/>
      <c r="C4" s="9"/>
      <c r="D4" s="15"/>
      <c r="E4" s="7"/>
    </row>
    <row r="5" spans="2:5" x14ac:dyDescent="0.25">
      <c r="B5" s="2" t="s">
        <v>19</v>
      </c>
      <c r="C5" s="2" t="s">
        <v>19</v>
      </c>
      <c r="D5" s="2" t="s">
        <v>20</v>
      </c>
      <c r="E5" s="3">
        <v>3650000</v>
      </c>
    </row>
    <row r="6" spans="2:5" x14ac:dyDescent="0.25">
      <c r="B6" s="2" t="s">
        <v>19</v>
      </c>
      <c r="C6" s="2" t="s">
        <v>19</v>
      </c>
      <c r="D6" s="2" t="s">
        <v>24</v>
      </c>
      <c r="E6" s="3">
        <v>6450000</v>
      </c>
    </row>
  </sheetData>
  <mergeCells count="4"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6FA1-B1D7-402F-9789-F368E5B722B7}">
  <dimension ref="B3:D8"/>
  <sheetViews>
    <sheetView workbookViewId="0">
      <selection activeCell="D7" sqref="D7:D8"/>
    </sheetView>
  </sheetViews>
  <sheetFormatPr defaultRowHeight="15" x14ac:dyDescent="0.25"/>
  <cols>
    <col min="2" max="2" width="15.7109375" bestFit="1" customWidth="1"/>
    <col min="3" max="3" width="8.7109375" customWidth="1"/>
    <col min="4" max="4" width="24.28515625" bestFit="1" customWidth="1"/>
  </cols>
  <sheetData>
    <row r="3" spans="2:4" x14ac:dyDescent="0.25">
      <c r="B3" s="10" t="s">
        <v>9</v>
      </c>
      <c r="C3" s="15" t="s">
        <v>0</v>
      </c>
      <c r="D3" s="7" t="s">
        <v>3</v>
      </c>
    </row>
    <row r="4" spans="2:4" x14ac:dyDescent="0.25">
      <c r="B4" s="11"/>
      <c r="C4" s="15"/>
      <c r="D4" s="7"/>
    </row>
    <row r="5" spans="2:4" x14ac:dyDescent="0.25">
      <c r="B5" s="2" t="s">
        <v>30</v>
      </c>
      <c r="C5" s="2" t="s">
        <v>20</v>
      </c>
      <c r="D5" s="3">
        <v>2402500</v>
      </c>
    </row>
    <row r="6" spans="2:4" x14ac:dyDescent="0.25">
      <c r="B6" s="2" t="s">
        <v>30</v>
      </c>
      <c r="C6" s="2" t="s">
        <v>24</v>
      </c>
      <c r="D6" s="3">
        <v>3909000</v>
      </c>
    </row>
    <row r="7" spans="2:4" x14ac:dyDescent="0.25">
      <c r="B7" s="2" t="s">
        <v>31</v>
      </c>
      <c r="C7" s="2" t="s">
        <v>20</v>
      </c>
      <c r="D7" s="3">
        <v>2350000</v>
      </c>
    </row>
    <row r="8" spans="2:4" x14ac:dyDescent="0.25">
      <c r="B8" s="2" t="s">
        <v>31</v>
      </c>
      <c r="C8" s="2" t="s">
        <v>24</v>
      </c>
      <c r="D8" s="3">
        <v>3825000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26B3-BEC7-4C99-8706-545D1DF0FD02}">
  <dimension ref="B3:D6"/>
  <sheetViews>
    <sheetView workbookViewId="0">
      <selection activeCell="E11" sqref="E11"/>
    </sheetView>
  </sheetViews>
  <sheetFormatPr defaultRowHeight="15" x14ac:dyDescent="0.25"/>
  <cols>
    <col min="2" max="2" width="17.42578125" bestFit="1" customWidth="1"/>
    <col min="3" max="3" width="9.85546875" bestFit="1" customWidth="1"/>
    <col min="4" max="4" width="19.140625" customWidth="1"/>
  </cols>
  <sheetData>
    <row r="3" spans="2:4" x14ac:dyDescent="0.25">
      <c r="B3" s="12" t="s">
        <v>10</v>
      </c>
      <c r="C3" s="15" t="s">
        <v>0</v>
      </c>
      <c r="D3" s="7" t="s">
        <v>4</v>
      </c>
    </row>
    <row r="4" spans="2:4" x14ac:dyDescent="0.25">
      <c r="B4" s="13"/>
      <c r="C4" s="15"/>
      <c r="D4" s="7"/>
    </row>
    <row r="5" spans="2:4" x14ac:dyDescent="0.25">
      <c r="B5" s="2" t="s">
        <v>19</v>
      </c>
      <c r="C5" s="2" t="s">
        <v>20</v>
      </c>
      <c r="D5" s="4">
        <v>0</v>
      </c>
    </row>
    <row r="6" spans="2:4" x14ac:dyDescent="0.25">
      <c r="B6" s="2" t="s">
        <v>19</v>
      </c>
      <c r="C6" s="2" t="s">
        <v>24</v>
      </c>
      <c r="D6" s="4">
        <v>0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AE0D-DCC9-45F6-97B0-3F1679F2F301}">
  <dimension ref="B3:H8"/>
  <sheetViews>
    <sheetView workbookViewId="0">
      <selection activeCell="H40" sqref="H40"/>
    </sheetView>
  </sheetViews>
  <sheetFormatPr defaultRowHeight="15" x14ac:dyDescent="0.25"/>
  <cols>
    <col min="1" max="1" width="7.7109375" bestFit="1" customWidth="1"/>
    <col min="2" max="2" width="14.28515625" bestFit="1" customWidth="1"/>
    <col min="3" max="3" width="17.42578125" bestFit="1" customWidth="1"/>
    <col min="4" max="4" width="9.85546875" bestFit="1" customWidth="1"/>
    <col min="5" max="5" width="14" bestFit="1" customWidth="1"/>
    <col min="6" max="6" width="12.85546875" bestFit="1" customWidth="1"/>
    <col min="7" max="7" width="14" bestFit="1" customWidth="1"/>
    <col min="8" max="8" width="12.85546875" bestFit="1" customWidth="1"/>
  </cols>
  <sheetData>
    <row r="3" spans="2:8" x14ac:dyDescent="0.25">
      <c r="B3" s="10" t="s">
        <v>9</v>
      </c>
      <c r="C3" s="12" t="s">
        <v>10</v>
      </c>
      <c r="D3" s="15" t="s">
        <v>0</v>
      </c>
      <c r="E3" s="6" t="s">
        <v>14</v>
      </c>
      <c r="F3" s="6"/>
      <c r="G3" s="6" t="s">
        <v>15</v>
      </c>
      <c r="H3" s="6"/>
    </row>
    <row r="4" spans="2:8" x14ac:dyDescent="0.25">
      <c r="B4" s="11"/>
      <c r="C4" s="13"/>
      <c r="D4" s="15"/>
      <c r="E4" s="1" t="s">
        <v>16</v>
      </c>
      <c r="F4" s="1" t="s">
        <v>17</v>
      </c>
      <c r="G4" s="1" t="s">
        <v>16</v>
      </c>
      <c r="H4" s="1" t="s">
        <v>17</v>
      </c>
    </row>
    <row r="5" spans="2:8" x14ac:dyDescent="0.25">
      <c r="B5" s="2" t="s">
        <v>30</v>
      </c>
      <c r="C5" s="2" t="s">
        <v>19</v>
      </c>
      <c r="D5" s="2" t="s">
        <v>20</v>
      </c>
      <c r="E5" s="3">
        <v>11000000</v>
      </c>
      <c r="F5" s="3">
        <v>3700000</v>
      </c>
      <c r="G5" s="3">
        <v>10400000</v>
      </c>
      <c r="H5" s="3">
        <v>3600000</v>
      </c>
    </row>
    <row r="6" spans="2:8" x14ac:dyDescent="0.25">
      <c r="B6" s="2" t="s">
        <v>30</v>
      </c>
      <c r="C6" s="2" t="s">
        <v>19</v>
      </c>
      <c r="D6" s="2" t="s">
        <v>24</v>
      </c>
      <c r="E6" s="3">
        <v>22000000</v>
      </c>
      <c r="F6" s="3">
        <v>7400000</v>
      </c>
      <c r="G6" s="3">
        <v>20800000</v>
      </c>
      <c r="H6" s="3">
        <v>7200000</v>
      </c>
    </row>
    <row r="7" spans="2:8" x14ac:dyDescent="0.25">
      <c r="B7" s="2" t="s">
        <v>31</v>
      </c>
      <c r="C7" s="2" t="s">
        <v>19</v>
      </c>
      <c r="D7" s="2" t="s">
        <v>20</v>
      </c>
      <c r="E7" s="3">
        <v>5500000</v>
      </c>
      <c r="F7" s="3">
        <v>3200000</v>
      </c>
      <c r="G7" s="3">
        <v>5700000</v>
      </c>
      <c r="H7" s="3">
        <v>3200000</v>
      </c>
    </row>
    <row r="8" spans="2:8" x14ac:dyDescent="0.25">
      <c r="B8" s="2" t="s">
        <v>31</v>
      </c>
      <c r="C8" s="2" t="s">
        <v>19</v>
      </c>
      <c r="D8" s="2" t="s">
        <v>24</v>
      </c>
      <c r="E8" s="3">
        <f>E7*2</f>
        <v>11000000</v>
      </c>
      <c r="F8" s="3">
        <f>F7*2</f>
        <v>6400000</v>
      </c>
      <c r="G8" s="3">
        <f>G7*2</f>
        <v>11400000</v>
      </c>
      <c r="H8" s="3">
        <f>H7*2</f>
        <v>6400000</v>
      </c>
    </row>
  </sheetData>
  <mergeCells count="5">
    <mergeCell ref="B3:B4"/>
    <mergeCell ref="C3:C4"/>
    <mergeCell ref="D3:D4"/>
    <mergeCell ref="E3:F3"/>
    <mergeCell ref="G3:H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B65F-71A3-4A66-BEC0-99597E464ECF}">
  <dimension ref="B3:E6"/>
  <sheetViews>
    <sheetView workbookViewId="0">
      <selection activeCell="E6" sqref="E6"/>
    </sheetView>
  </sheetViews>
  <sheetFormatPr defaultRowHeight="15" x14ac:dyDescent="0.25"/>
  <cols>
    <col min="2" max="2" width="9.85546875" bestFit="1" customWidth="1"/>
    <col min="3" max="3" width="11.28515625" bestFit="1" customWidth="1"/>
    <col min="4" max="5" width="11.42578125" bestFit="1" customWidth="1"/>
  </cols>
  <sheetData>
    <row r="3" spans="2:5" x14ac:dyDescent="0.25">
      <c r="B3" s="15" t="s">
        <v>0</v>
      </c>
      <c r="C3" s="7" t="s">
        <v>6</v>
      </c>
      <c r="D3" s="7" t="s">
        <v>7</v>
      </c>
      <c r="E3" s="20" t="s">
        <v>8</v>
      </c>
    </row>
    <row r="4" spans="2:5" x14ac:dyDescent="0.25">
      <c r="B4" s="15"/>
      <c r="C4" s="7"/>
      <c r="D4" s="7"/>
      <c r="E4" s="21"/>
    </row>
    <row r="5" spans="2:5" x14ac:dyDescent="0.25">
      <c r="B5" s="2" t="s">
        <v>20</v>
      </c>
      <c r="C5" s="3">
        <v>550000</v>
      </c>
      <c r="D5" s="3">
        <v>350000</v>
      </c>
      <c r="E5" s="3">
        <v>5000</v>
      </c>
    </row>
    <row r="6" spans="2:5" x14ac:dyDescent="0.25">
      <c r="B6" s="2" t="s">
        <v>24</v>
      </c>
      <c r="C6" s="3">
        <v>600000</v>
      </c>
      <c r="D6" s="3">
        <v>350000</v>
      </c>
      <c r="E6" s="3">
        <v>5000</v>
      </c>
    </row>
  </sheetData>
  <mergeCells count="4">
    <mergeCell ref="C3:C4"/>
    <mergeCell ref="D3:D4"/>
    <mergeCell ref="E3:E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MASTER TRUCKING ORIGIN</vt:lpstr>
      <vt:lpstr>MASTER TRUCKING DESTINATION</vt:lpstr>
      <vt:lpstr>MASTER PORT OF LOAD</vt:lpstr>
      <vt:lpstr>MASTER PORT OF DISC</vt:lpstr>
      <vt:lpstr>MASTER PTP</vt:lpstr>
      <vt:lpstr>MASTER 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WAHANA 26</dc:creator>
  <cp:lastModifiedBy>Dwiki Nst</cp:lastModifiedBy>
  <dcterms:created xsi:type="dcterms:W3CDTF">2026-10-05T07:45:44Z</dcterms:created>
  <dcterms:modified xsi:type="dcterms:W3CDTF">2026-10-23T01:23:59Z</dcterms:modified>
</cp:coreProperties>
</file>